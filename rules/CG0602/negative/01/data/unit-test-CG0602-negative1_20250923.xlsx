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els_janssens\Desktop\CG0602\negative\01\data\"/>
    </mc:Choice>
  </mc:AlternateContent>
  <xr:revisionPtr revIDLastSave="0" documentId="13_ncr:1_{503F1A58-A6DC-46CB-82CD-450431775E5F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Library" sheetId="87" r:id="rId1"/>
    <sheet name="Datasets" sheetId="2" r:id="rId2"/>
    <sheet name="cm.xpt" sheetId="21" r:id="rId3"/>
    <sheet name="ae.xpt" sheetId="12" r:id="rId4"/>
    <sheet name="fa.xpt" sheetId="32" r:id="rId5"/>
    <sheet name="relrec.xpt" sheetId="54" r:id="rId6"/>
  </sheets>
  <definedNames>
    <definedName name="_A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/>
  <c r="B5" i="2"/>
</calcChain>
</file>

<file path=xl/sharedStrings.xml><?xml version="1.0" encoding="utf-8"?>
<sst xmlns="http://schemas.openxmlformats.org/spreadsheetml/2006/main" count="387" uniqueCount="187">
  <si>
    <t>Product</t>
  </si>
  <si>
    <t>Version</t>
  </si>
  <si>
    <t>sdtmig</t>
  </si>
  <si>
    <t>3-4</t>
  </si>
  <si>
    <t>Filename</t>
  </si>
  <si>
    <t>Dataset 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</si>
  <si>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</si>
  <si>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</si>
  <si>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</si>
  <si>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</si>
  <si>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</si>
  <si>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</si>
  <si>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</si>
  <si>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</si>
  <si>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</si>
  <si>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</si>
  <si>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</si>
  <si>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</si>
  <si>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</si>
  <si>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</si>
  <si>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</si>
  <si>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</si>
  <si>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</si>
  <si>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</si>
  <si>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</si>
  <si>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Occurrence Indicator</t>
  </si>
  <si>
    <t>Indication</t>
  </si>
  <si>
    <t>Dose Units</t>
  </si>
  <si>
    <t>Dosing Frequency per Interval</t>
  </si>
  <si>
    <t>Route of Administration</t>
  </si>
  <si>
    <t>Dictionary-Derived Term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</si>
  <si>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</si>
  <si>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</si>
  <si>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</si>
  <si>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</si>
  <si>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</si>
  <si>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</si>
  <si>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</si>
  <si>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</si>
  <si>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</si>
  <si>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</si>
  <si>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</si>
  <si>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Object of the Observation</t>
  </si>
  <si>
    <t>Result or Finding in Original Units</t>
  </si>
  <si>
    <t>VISITNUM</t>
  </si>
  <si>
    <t>EPOCH</t>
  </si>
  <si>
    <t>Visit Number</t>
  </si>
  <si>
    <t>Epoch</t>
  </si>
  <si>
    <t>Date/Time of Collection</t>
  </si>
  <si>
    <t>End Relative to Reference Time Point</t>
  </si>
  <si>
    <t>End Reference Time Point</t>
  </si>
  <si>
    <t>RDOMAIN</t>
  </si>
  <si>
    <t>IDVAR</t>
  </si>
  <si>
    <t>IDVARVAL</t>
  </si>
  <si>
    <t>Related Domain Abbreviation</t>
  </si>
  <si>
    <t>Identifying Variable</t>
  </si>
  <si>
    <t>Identifying Variable Value</t>
  </si>
  <si>
    <t>ARM</t>
  </si>
  <si>
    <t>Study Day of Collection</t>
  </si>
  <si>
    <t>Dose per Administration</t>
  </si>
  <si>
    <t>CMSEQ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</si>
  <si>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</si>
  <si>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</si>
  <si>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</si>
  <si>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</si>
  <si>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</si>
  <si>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</si>
  <si>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</si>
  <si>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</si>
  <si>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</si>
  <si>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</si>
  <si>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</si>
  <si>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</si>
  <si>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</si>
  <si>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</si>
  <si>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</si>
  <si>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</si>
  <si>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</si>
  <si>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</si>
  <si>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</si>
  <si>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Start Date/Time of Medication</t>
  </si>
  <si>
    <t>End Date/Time of Medication</t>
  </si>
  <si>
    <t>Study Day of Start of Medication</t>
  </si>
  <si>
    <t>Study Day of End of Medication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</si>
  <si>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</si>
  <si>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</si>
  <si>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</si>
  <si>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</si>
  <si>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</si>
  <si>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</si>
  <si>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</si>
  <si>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</si>
  <si>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</si>
  <si>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</si>
  <si>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</si>
  <si>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</si>
  <si>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</si>
  <si>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</si>
  <si>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</si>
  <si>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</si>
  <si>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</si>
  <si>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</si>
  <si>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</si>
  <si>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</si>
  <si>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</si>
  <si>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</si>
  <si>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</si>
  <si>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</si>
  <si>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</si>
  <si>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</si>
  <si>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</si>
  <si>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</si>
  <si>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</si>
  <si>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Character Result/Finding in Std Format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</si>
  <si>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</si>
  <si>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</si>
  <si>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</si>
  <si>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</si>
  <si>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</si>
  <si>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</si>
  <si>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</si>
  <si>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</si>
  <si>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</si>
  <si>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</si>
  <si>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</si>
  <si>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Findings About Test Short Name</t>
  </si>
  <si>
    <t>Findings About Test Name</t>
  </si>
  <si>
    <t>Category for Findings About</t>
  </si>
  <si>
    <t>Location of the Finding About</t>
  </si>
  <si>
    <t>RELTYPE</t>
  </si>
  <si>
    <t>RELID</t>
  </si>
  <si>
    <t>Relationship Type</t>
  </si>
  <si>
    <t>Relationship Identifier</t>
  </si>
  <si>
    <t>CDISCPILOT01</t>
  </si>
  <si>
    <t>AE</t>
  </si>
  <si>
    <t/>
  </si>
  <si>
    <t>ONE</t>
  </si>
  <si>
    <t>AEFA</t>
  </si>
  <si>
    <t>FA</t>
  </si>
  <si>
    <t>MANY</t>
  </si>
  <si>
    <t>CDISC001</t>
  </si>
  <si>
    <t>1</t>
  </si>
  <si>
    <t>OCCUR</t>
  </si>
  <si>
    <t>ERYTHEMA</t>
  </si>
  <si>
    <t>INJECTION SITE REACTION</t>
  </si>
  <si>
    <t>Y</t>
  </si>
  <si>
    <t>TREATMENT</t>
  </si>
  <si>
    <t>2012-12-02</t>
  </si>
  <si>
    <t>SEV</t>
  </si>
  <si>
    <t>MODERATE</t>
  </si>
  <si>
    <t>CM</t>
  </si>
  <si>
    <t>ASPIRIN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</si>
  <si>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</si>
  <si>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</si>
  <si>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</si>
  <si>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</si>
  <si>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</si>
  <si>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</si>
  <si>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</si>
  <si>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</si>
  <si>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</si>
  <si>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CONCOMITANT THERAPY</t>
  </si>
  <si>
    <t>PRN</t>
  </si>
  <si>
    <t>2012-08</t>
  </si>
  <si>
    <t>ONGOING</t>
  </si>
  <si>
    <t>2013-05-20</t>
  </si>
  <si>
    <t>HYDROCORTISONE, TOPICAL</t>
  </si>
  <si>
    <t>BID</t>
  </si>
  <si>
    <t>TOPICAL</t>
  </si>
  <si>
    <t>2013-01-11</t>
  </si>
  <si>
    <t>CMFA-1</t>
  </si>
  <si>
    <t>CMGRPID</t>
  </si>
  <si>
    <t>30</t>
  </si>
  <si>
    <t>PLANTAGO OVATA HUSK</t>
  </si>
  <si>
    <t>2</t>
  </si>
  <si>
    <t>FATIGUE</t>
  </si>
  <si>
    <t>N</t>
  </si>
  <si>
    <t>DRUG WITHDRAWN</t>
  </si>
  <si>
    <t>RELATED</t>
  </si>
  <si>
    <t>NOT RECOVERED/NOT RESOLVED</t>
  </si>
  <si>
    <t>DOSE NOT CHANGED</t>
  </si>
  <si>
    <t>UNLIKELY RELATED</t>
  </si>
  <si>
    <t>2013-01-14</t>
  </si>
  <si>
    <t>EXLNKID</t>
  </si>
  <si>
    <t>EX</t>
  </si>
  <si>
    <t>EXFA</t>
  </si>
  <si>
    <t>FALNKID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</si>
</sst>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6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quotePrefix="1"/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 wrapText="1"/>
    </xf>
  </cellXfs>
  <cellStyles count="5">
    <cellStyle name="Normal" xfId="0" builtinId="0"/>
    <cellStyle name="Normal 2" xfId="1" xr:uid="{00000000-0005-0000-0000-000001000000}"/>
    <cellStyle name="Normal 3" xfId="4" xr:uid="{E382A91D-2F9F-4BBC-B67C-0BED2F3638CB}"/>
    <cellStyle name="Normal 3 2" xfId="2" xr:uid="{00000000-0005-0000-0000-000002000000}"/>
    <cellStyle name="Note" xfId="3" builtinId="10"/>
  </cellStyles>
  <dxfs count="8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 headerRowDxfId="81" dataDxfId="80">
  <autoFilter ref="A1:C5" xr:uid="{00000000-0009-0000-0100-000001000000}"/>
  <sortState xmlns:xlrd2="http://schemas.microsoft.com/office/spreadsheetml/2017/richdata2" ref="A2:B5">
    <sortCondition ref="A2:A5"/>
  </sortState>
  <tableColumns count="3">
    <tableColumn id="1" xr3:uid="{00000000-0010-0000-0000-000001000000}" name="Filename" dataDxfId="79"/>
    <tableColumn id="2" xr3:uid="{00000000-0010-0000-0000-000002000000}" name="Dataset Name" dataDxfId="78">
      <calculatedColumnFormula>UPPER(MID(A2,1,FIND(".",Table1[[#This Row],[Filename]])-1))</calculatedColumnFormula>
    </tableColumn>
    <tableColumn id="4" xr3:uid="{00000000-0010-0000-0000-000004000000}" name="Label" dataDxfId="7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7" totalsRowShown="0" headerRowDxfId="76" dataDxfId="75">
  <autoFilter ref="A1:U7" xr:uid="{00000000-0009-0000-0100-00000B000000}"/>
  <tableColumns count="21">
    <tableColumn id="1" xr3:uid="{00000000-0010-0000-0D00-000001000000}" name="STUDYID" dataDxfId="74"/>
    <tableColumn id="2" xr3:uid="{00000000-0010-0000-0D00-000002000000}" name="DOMAIN" dataDxfId="73"/>
    <tableColumn id="3" xr3:uid="{00000000-0010-0000-0D00-000003000000}" name="USUBJID" dataDxfId="72"/>
    <tableColumn id="4" xr3:uid="{00000000-0010-0000-0D00-000004000000}" name="CMSEQ" dataDxfId="71"/>
    <tableColumn id="5" xr3:uid="{62B2328A-3271-46E4-86FF-16E265B54F58}" name="CMGRPID"/>
    <tableColumn id="7" xr3:uid="{00000000-0010-0000-0D00-000007000000}" name="CMTRT" dataDxfId="70"/>
    <tableColumn id="9" xr3:uid="{00000000-0010-0000-0D00-000009000000}" name="CMDECOD" dataDxfId="69"/>
    <tableColumn id="10" xr3:uid="{00000000-0010-0000-0D00-00000A000000}" name="CMCAT" dataDxfId="68"/>
    <tableColumn id="11" xr3:uid="{00000000-0010-0000-0D00-00000B000000}" name="CMSCAT" dataDxfId="67"/>
    <tableColumn id="16" xr3:uid="{00000000-0010-0000-0D00-000010000000}" name="CMINDC" dataDxfId="66"/>
    <tableColumn id="19" xr3:uid="{00000000-0010-0000-0D00-000013000000}" name="CMDOSE" dataDxfId="65"/>
    <tableColumn id="21" xr3:uid="{00000000-0010-0000-0D00-000015000000}" name="CMDOSU" dataDxfId="64"/>
    <tableColumn id="23" xr3:uid="{00000000-0010-0000-0D00-000017000000}" name="CMDOSFRQ" dataDxfId="63"/>
    <tableColumn id="26" xr3:uid="{00000000-0010-0000-0D00-00001A000000}" name="CMROUTE" dataDxfId="62"/>
    <tableColumn id="30" xr3:uid="{00000000-0010-0000-0D00-00001E000000}" name="EPOCH" dataDxfId="61"/>
    <tableColumn id="31" xr3:uid="{00000000-0010-0000-0D00-00001F000000}" name="CMSTDTC" dataDxfId="60"/>
    <tableColumn id="32" xr3:uid="{00000000-0010-0000-0D00-000020000000}" name="CMENDTC" dataDxfId="59"/>
    <tableColumn id="33" xr3:uid="{00000000-0010-0000-0D00-000021000000}" name="CMSTDY" dataDxfId="58"/>
    <tableColumn id="34" xr3:uid="{00000000-0010-0000-0D00-000022000000}" name="CMENDY" dataDxfId="57"/>
    <tableColumn id="40" xr3:uid="{00000000-0010-0000-0D00-000028000000}" name="CMENRTPT" dataDxfId="56"/>
    <tableColumn id="41" xr3:uid="{00000000-0010-0000-0D00-000029000000}" name="CMENTPT" dataDxfId="5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6" totalsRowShown="0" headerRowDxfId="54" dataDxfId="53">
  <autoFilter ref="A1:Z6" xr:uid="{00000000-0009-0000-0100-000007000000}"/>
  <tableColumns count="26">
    <tableColumn id="1" xr3:uid="{00000000-0010-0000-1300-000001000000}" name="STUDYID" dataDxfId="52"/>
    <tableColumn id="2" xr3:uid="{00000000-0010-0000-1300-000002000000}" name="DOMAIN" dataDxfId="51"/>
    <tableColumn id="3" xr3:uid="{00000000-0010-0000-1300-000003000000}" name="USUBJID" dataDxfId="50"/>
    <tableColumn id="5" xr3:uid="{00000000-0010-0000-1300-000005000000}" name="AESEQ" dataDxfId="49"/>
    <tableColumn id="6" xr3:uid="{00000000-0010-0000-1300-000006000000}" name="AEGRPID" dataDxfId="48"/>
    <tableColumn id="9" xr3:uid="{00000000-0010-0000-1300-000009000000}" name="AETERM" dataDxfId="47"/>
    <tableColumn id="13" xr3:uid="{00000000-0010-0000-1300-00000D000000}" name="AEDECOD" dataDxfId="46"/>
    <tableColumn id="28" xr3:uid="{00000000-0010-0000-1300-00001C000000}" name="AESER" dataDxfId="45"/>
    <tableColumn id="29" xr3:uid="{00000000-0010-0000-1300-00001D000000}" name="AEACN" dataDxfId="44"/>
    <tableColumn id="32" xr3:uid="{00000000-0010-0000-1300-000020000000}" name="AEREL" dataDxfId="43"/>
    <tableColumn id="36" xr3:uid="{00000000-0010-0000-1300-000024000000}" name="AEOUT" dataDxfId="42"/>
    <tableColumn id="37" xr3:uid="{00000000-0010-0000-1300-000025000000}" name="AESCAN" dataDxfId="41"/>
    <tableColumn id="38" xr3:uid="{00000000-0010-0000-1300-000026000000}" name="AESCONG" dataDxfId="40"/>
    <tableColumn id="39" xr3:uid="{00000000-0010-0000-1300-000027000000}" name="AESDISAB" dataDxfId="39"/>
    <tableColumn id="40" xr3:uid="{00000000-0010-0000-1300-000028000000}" name="AESDTH" dataDxfId="38"/>
    <tableColumn id="41" xr3:uid="{00000000-0010-0000-1300-000029000000}" name="AESHOSP" dataDxfId="37"/>
    <tableColumn id="42" xr3:uid="{00000000-0010-0000-1300-00002A000000}" name="AESLIFE" dataDxfId="36"/>
    <tableColumn id="49" xr3:uid="{00000000-0010-0000-1300-000031000000}" name="AECONTRT" dataDxfId="35"/>
    <tableColumn id="50" xr3:uid="{00000000-0010-0000-1300-000032000000}" name="AETOXGR" dataDxfId="34"/>
    <tableColumn id="52" xr3:uid="{00000000-0010-0000-1300-000034000000}" name="EPOCH" dataDxfId="33"/>
    <tableColumn id="53" xr3:uid="{00000000-0010-0000-1300-000035000000}" name="AESTDTC" dataDxfId="32"/>
    <tableColumn id="54" xr3:uid="{00000000-0010-0000-1300-000036000000}" name="AEENDTC" dataDxfId="31"/>
    <tableColumn id="55" xr3:uid="{00000000-0010-0000-1300-000037000000}" name="AESTDY" dataDxfId="30"/>
    <tableColumn id="56" xr3:uid="{00000000-0010-0000-1300-000038000000}" name="AEENDY" dataDxfId="29"/>
    <tableColumn id="59" xr3:uid="{00000000-0010-0000-1300-00003B000000}" name="AEENRTPT" dataDxfId="28"/>
    <tableColumn id="60" xr3:uid="{00000000-0010-0000-1300-00003C000000}" name="AEENTPT" dataDxfId="2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P7" totalsRowShown="0" headerRowDxfId="26" dataDxfId="25">
  <autoFilter ref="A1:P7" xr:uid="{00000000-0009-0000-0100-000016000000}"/>
  <tableColumns count="16">
    <tableColumn id="1" xr3:uid="{00000000-0010-0000-2000-000001000000}" name="STUDYID" dataDxfId="24"/>
    <tableColumn id="2" xr3:uid="{00000000-0010-0000-2000-000002000000}" name="DOMAIN" dataDxfId="23"/>
    <tableColumn id="3" xr3:uid="{00000000-0010-0000-2000-000003000000}" name="USUBJID" dataDxfId="22"/>
    <tableColumn id="4" xr3:uid="{00000000-0010-0000-2000-000004000000}" name="FASEQ" dataDxfId="21"/>
    <tableColumn id="5" xr3:uid="{00000000-0010-0000-2000-000005000000}" name="FAGRPID" dataDxfId="20"/>
    <tableColumn id="7" xr3:uid="{00000000-0010-0000-2000-000007000000}" name="FATESTCD" dataDxfId="19"/>
    <tableColumn id="8" xr3:uid="{00000000-0010-0000-2000-000008000000}" name="FATEST" dataDxfId="18"/>
    <tableColumn id="9" xr3:uid="{00000000-0010-0000-2000-000009000000}" name="FAOBJ" dataDxfId="17"/>
    <tableColumn id="10" xr3:uid="{00000000-0010-0000-2000-00000A000000}" name="FACAT" dataDxfId="16"/>
    <tableColumn id="12" xr3:uid="{00000000-0010-0000-2000-00000C000000}" name="FAORRES" dataDxfId="15"/>
    <tableColumn id="14" xr3:uid="{00000000-0010-0000-2000-00000E000000}" name="FASTRESC" dataDxfId="14"/>
    <tableColumn id="19" xr3:uid="{00000000-0010-0000-2000-000013000000}" name="FALOC" dataDxfId="13"/>
    <tableColumn id="24" xr3:uid="{00000000-0010-0000-2000-000018000000}" name="VISITNUM" dataDxfId="12"/>
    <tableColumn id="28" xr3:uid="{00000000-0010-0000-2000-00001C000000}" name="EPOCH" dataDxfId="11"/>
    <tableColumn id="29" xr3:uid="{00000000-0010-0000-2000-00001D000000}" name="FADTC" dataDxfId="10"/>
    <tableColumn id="30" xr3:uid="{00000000-0010-0000-2000-00001E000000}" name="FADY" dataDxfId="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10" totalsRowShown="0" headerRowDxfId="8" dataDxfId="7">
  <autoFilter ref="A1:G10" xr:uid="{00000000-0009-0000-0100-00002C000000}"/>
  <tableColumns count="7">
    <tableColumn id="1" xr3:uid="{00000000-0010-0000-4500-000001000000}" name="STUDYID" dataDxfId="6"/>
    <tableColumn id="2" xr3:uid="{00000000-0010-0000-4500-000002000000}" name="RDOMAIN" dataDxfId="5"/>
    <tableColumn id="3" xr3:uid="{00000000-0010-0000-4500-000003000000}" name="USUBJID" dataDxfId="4"/>
    <tableColumn id="4" xr3:uid="{00000000-0010-0000-4500-000004000000}" name="IDVAR" dataDxfId="3"/>
    <tableColumn id="5" xr3:uid="{00000000-0010-0000-4500-000005000000}" name="IDVARVAL" dataDxfId="2"/>
    <tableColumn id="6" xr3:uid="{00000000-0010-0000-4500-000006000000}" name="RELTYPE" dataDxfId="1"/>
    <tableColumn id="7" xr3:uid="{00000000-0010-0000-4500-000007000000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"/>
  <sheetViews>
    <sheetView zoomScaleNormal="100" workbookViewId="0">
      <selection activeCell="B14" sqref="B14"/>
    </sheetView>
  </sheetViews>
  <sheetFormatPr defaultRowHeight="15" x14ac:dyDescent="0.25"/>
  <cols>
    <col min="1" max="1" width="11.5703125" style="1" customWidth="1"/>
    <col min="2" max="2" width="15" style="1" bestFit="1" customWidth="1"/>
    <col min="3" max="3" width="36.7109375" style="1" bestFit="1" customWidth="1"/>
  </cols>
  <sheetData>
    <row r="1" spans="1:3" ht="15" customHeight="1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 t="s">
        <v>7</v>
      </c>
      <c r="B2" s="1" t="str">
        <f>UPPER(MID(A2,1,FIND(".",Table1[[#This Row],[Filename]])-1))</f>
        <v>CM</v>
      </c>
      <c r="C2" s="1" t="s">
        <v>8</v>
      </c>
    </row>
    <row r="3" spans="1:3" x14ac:dyDescent="0.25">
      <c r="A3" s="1" t="s">
        <v>9</v>
      </c>
      <c r="B3" s="1" t="str">
        <f>UPPER(MID(A3,1,FIND(".",Table1[[#This Row],[Filename]])-1))</f>
        <v>AE</v>
      </c>
      <c r="C3" s="1" t="s">
        <v>10</v>
      </c>
    </row>
    <row r="4" spans="1:3" x14ac:dyDescent="0.25">
      <c r="A4" s="1" t="s">
        <v>11</v>
      </c>
      <c r="B4" s="1" t="str">
        <f>UPPER(MID(A4,1,FIND(".",Table1[[#This Row],[Filename]])-1))</f>
        <v>FA</v>
      </c>
      <c r="C4" s="1" t="s">
        <v>12</v>
      </c>
    </row>
    <row r="5" spans="1:3" x14ac:dyDescent="0.25">
      <c r="A5" s="1" t="s">
        <v>13</v>
      </c>
      <c r="B5" s="1" t="str">
        <f>UPPER(MID(A5,1,FIND(".",Table1[[#This Row],[Filename]])-1))</f>
        <v>RELREC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7"/>
  <sheetViews>
    <sheetView workbookViewId="0">
      <pane ySplit="4" topLeftCell="A5" activePane="bottomLeft" state="frozen"/>
      <selection activeCell="A5" sqref="A5"/>
      <selection pane="bottomLeft" activeCell="F7" sqref="F7"/>
    </sheetView>
  </sheetViews>
  <sheetFormatPr defaultColWidth="8.85546875" defaultRowHeight="15" x14ac:dyDescent="0.25"/>
  <cols>
    <col min="1" max="5" width="20.7109375" style="2" customWidth="1"/>
    <col min="6" max="6" width="31.5703125" style="2" customWidth="1"/>
    <col min="7" max="21" width="20.7109375" style="2" customWidth="1"/>
    <col min="22" max="16384" width="8.85546875" style="2"/>
  </cols>
  <sheetData>
    <row r="1" spans="1:21" x14ac:dyDescent="0.25">
      <c r="A1" s="2" t="s">
        <v>15</v>
      </c>
      <c r="B1" s="2" t="s">
        <v>16</v>
      </c>
      <c r="C1" s="2" t="s">
        <v>17</v>
      </c>
      <c r="D1" s="2" t="s">
        <v>60</v>
      </c>
      <c r="E1" s="2" t="s">
        <v>171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45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</row>
    <row r="2" spans="1:2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26</v>
      </c>
      <c r="K2" s="3" t="s">
        <v>59</v>
      </c>
      <c r="L2" s="3" t="s">
        <v>27</v>
      </c>
      <c r="M2" s="3" t="s">
        <v>28</v>
      </c>
      <c r="N2" s="3" t="s">
        <v>29</v>
      </c>
      <c r="O2" s="3" t="s">
        <v>47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49</v>
      </c>
      <c r="U2" s="3" t="s">
        <v>50</v>
      </c>
    </row>
    <row r="3" spans="1:21" x14ac:dyDescent="0.2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24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24</v>
      </c>
      <c r="S3" s="3" t="s">
        <v>24</v>
      </c>
      <c r="T3" s="3" t="s">
        <v>23</v>
      </c>
      <c r="U3" s="3" t="s">
        <v>23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172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45" x14ac:dyDescent="0.25">
      <c r="A5" s="6" t="s">
        <v>133</v>
      </c>
      <c r="B5" s="6" t="s">
        <v>150</v>
      </c>
      <c r="C5" s="6" t="s">
        <v>140</v>
      </c>
      <c r="D5" s="6">
        <v>1</v>
      </c>
      <c r="E5" s="6">
        <v>1</v>
      </c>
      <c r="F5" s="6" t="s">
        <v>151</v>
      </c>
      <c r="H5" s="2" t="s">
        <v>161</v>
      </c>
      <c r="I5" s="2" t="s">
        <v>152</v>
      </c>
      <c r="J5" s="2" t="s">
        <v>153</v>
      </c>
      <c r="K5" s="2">
        <v>1</v>
      </c>
      <c r="L5" s="2" t="s">
        <v>154</v>
      </c>
      <c r="M5" s="2" t="s">
        <v>155</v>
      </c>
      <c r="N5" s="2" t="s">
        <v>156</v>
      </c>
      <c r="O5" s="2" t="s">
        <v>157</v>
      </c>
      <c r="P5" s="2" t="s">
        <v>158</v>
      </c>
      <c r="Q5" s="2" t="s">
        <v>159</v>
      </c>
      <c r="S5" s="2">
        <v>151</v>
      </c>
      <c r="T5" s="2" t="s">
        <v>135</v>
      </c>
      <c r="U5" s="6" t="s">
        <v>135</v>
      </c>
    </row>
    <row r="6" spans="1:21" ht="45" x14ac:dyDescent="0.25">
      <c r="A6" s="6" t="s">
        <v>133</v>
      </c>
      <c r="B6" s="6" t="s">
        <v>150</v>
      </c>
      <c r="C6" s="6" t="s">
        <v>140</v>
      </c>
      <c r="D6" s="6">
        <v>2</v>
      </c>
      <c r="E6" s="6">
        <v>2</v>
      </c>
      <c r="F6" s="6" t="s">
        <v>160</v>
      </c>
      <c r="G6" s="2" t="s">
        <v>173</v>
      </c>
      <c r="H6" s="2" t="s">
        <v>161</v>
      </c>
      <c r="I6" s="2" t="s">
        <v>152</v>
      </c>
      <c r="J6" s="2" t="s">
        <v>153</v>
      </c>
      <c r="K6" s="2">
        <v>1</v>
      </c>
      <c r="L6" s="2" t="s">
        <v>154</v>
      </c>
      <c r="M6" s="2" t="s">
        <v>162</v>
      </c>
      <c r="N6" s="2" t="s">
        <v>156</v>
      </c>
      <c r="O6" s="2" t="s">
        <v>157</v>
      </c>
      <c r="P6" s="2" t="s">
        <v>163</v>
      </c>
      <c r="Q6" s="2" t="s">
        <v>135</v>
      </c>
      <c r="T6" s="2" t="s">
        <v>164</v>
      </c>
      <c r="U6" s="6" t="s">
        <v>165</v>
      </c>
    </row>
    <row r="7" spans="1:21" ht="45" x14ac:dyDescent="0.25">
      <c r="A7" s="6" t="s">
        <v>133</v>
      </c>
      <c r="B7" s="6" t="s">
        <v>150</v>
      </c>
      <c r="C7" s="6" t="s">
        <v>140</v>
      </c>
      <c r="D7" s="6">
        <v>3</v>
      </c>
      <c r="E7" s="6">
        <v>3</v>
      </c>
      <c r="F7" s="7" t="s">
        <v>166</v>
      </c>
      <c r="H7" s="2" t="s">
        <v>161</v>
      </c>
      <c r="I7" s="2" t="s">
        <v>152</v>
      </c>
      <c r="J7" s="2" t="s">
        <v>153</v>
      </c>
      <c r="K7" s="2">
        <v>1</v>
      </c>
      <c r="L7" s="2" t="s">
        <v>154</v>
      </c>
      <c r="M7" s="2" t="s">
        <v>167</v>
      </c>
      <c r="N7" s="2" t="s">
        <v>168</v>
      </c>
      <c r="O7" s="2" t="s">
        <v>146</v>
      </c>
      <c r="P7" s="2" t="s">
        <v>169</v>
      </c>
      <c r="Q7" s="2" t="s">
        <v>135</v>
      </c>
      <c r="R7" s="2">
        <v>43</v>
      </c>
      <c r="T7" s="2" t="s">
        <v>164</v>
      </c>
      <c r="U7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Z6"/>
  <sheetViews>
    <sheetView workbookViewId="0">
      <pane ySplit="4" topLeftCell="A5" activePane="bottomLeft" state="frozen"/>
      <selection activeCell="A5" sqref="A5"/>
      <selection pane="bottomLeft" activeCell="E11" sqref="E11"/>
    </sheetView>
  </sheetViews>
  <sheetFormatPr defaultColWidth="8.85546875" defaultRowHeight="15" x14ac:dyDescent="0.25"/>
  <cols>
    <col min="1" max="5" width="20.7109375" style="2" customWidth="1"/>
    <col min="6" max="6" width="27.7109375" style="2" customWidth="1"/>
    <col min="7" max="26" width="20.7109375" style="2" customWidth="1"/>
    <col min="27" max="16384" width="8.85546875" style="4"/>
  </cols>
  <sheetData>
    <row r="1" spans="1:26" x14ac:dyDescent="0.25">
      <c r="A1" s="2" t="s">
        <v>15</v>
      </c>
      <c r="B1" s="2" t="s">
        <v>16</v>
      </c>
      <c r="C1" s="2" t="s">
        <v>17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45</v>
      </c>
      <c r="U1" s="2" t="s">
        <v>100</v>
      </c>
      <c r="V1" s="2" t="s">
        <v>101</v>
      </c>
      <c r="W1" s="2" t="s">
        <v>102</v>
      </c>
      <c r="X1" s="2" t="s">
        <v>103</v>
      </c>
      <c r="Y1" s="2" t="s">
        <v>104</v>
      </c>
      <c r="Z1" s="2" t="s">
        <v>105</v>
      </c>
    </row>
    <row r="2" spans="1:26" s="2" customFormat="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106</v>
      </c>
      <c r="G2" s="3" t="s">
        <v>30</v>
      </c>
      <c r="H2" s="3" t="s">
        <v>32</v>
      </c>
      <c r="I2" s="3" t="s">
        <v>33</v>
      </c>
      <c r="J2" s="3" t="s">
        <v>34</v>
      </c>
      <c r="K2" s="3" t="s">
        <v>107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108</v>
      </c>
      <c r="T2" s="3" t="s">
        <v>47</v>
      </c>
      <c r="U2" s="3" t="s">
        <v>109</v>
      </c>
      <c r="V2" s="3" t="s">
        <v>110</v>
      </c>
      <c r="W2" s="3" t="s">
        <v>111</v>
      </c>
      <c r="X2" s="3" t="s">
        <v>112</v>
      </c>
      <c r="Y2" s="3" t="s">
        <v>49</v>
      </c>
      <c r="Z2" s="3" t="s">
        <v>50</v>
      </c>
    </row>
    <row r="3" spans="1:26" x14ac:dyDescent="0.2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23</v>
      </c>
      <c r="W3" s="3" t="s">
        <v>24</v>
      </c>
      <c r="X3" s="3" t="s">
        <v>24</v>
      </c>
      <c r="Y3" s="3" t="s">
        <v>23</v>
      </c>
      <c r="Z3" s="3" t="s">
        <v>23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s="6" t="s">
        <v>133</v>
      </c>
      <c r="B5" s="6" t="s">
        <v>134</v>
      </c>
      <c r="C5" s="6" t="s">
        <v>140</v>
      </c>
      <c r="D5" s="6">
        <v>1</v>
      </c>
      <c r="E5" s="6">
        <v>3</v>
      </c>
      <c r="F5" s="6" t="s">
        <v>144</v>
      </c>
      <c r="G5" s="6"/>
      <c r="H5" s="6" t="s">
        <v>176</v>
      </c>
      <c r="I5" s="6" t="s">
        <v>177</v>
      </c>
      <c r="J5" s="6" t="s">
        <v>178</v>
      </c>
      <c r="K5" s="6" t="s">
        <v>179</v>
      </c>
      <c r="L5" s="6" t="s">
        <v>176</v>
      </c>
      <c r="M5" s="6" t="s">
        <v>176</v>
      </c>
      <c r="N5" s="6" t="s">
        <v>176</v>
      </c>
      <c r="O5" s="6" t="s">
        <v>176</v>
      </c>
      <c r="P5" s="6" t="s">
        <v>176</v>
      </c>
      <c r="Q5" s="6" t="s">
        <v>176</v>
      </c>
      <c r="R5" s="2" t="s">
        <v>145</v>
      </c>
      <c r="T5" s="6" t="s">
        <v>146</v>
      </c>
      <c r="U5" s="6" t="s">
        <v>147</v>
      </c>
      <c r="V5" s="6" t="s">
        <v>135</v>
      </c>
      <c r="W5" s="6">
        <v>3</v>
      </c>
      <c r="X5" s="6"/>
      <c r="Y5" s="6" t="s">
        <v>164</v>
      </c>
      <c r="Z5" s="6" t="s">
        <v>165</v>
      </c>
    </row>
    <row r="6" spans="1:26" x14ac:dyDescent="0.25">
      <c r="A6" s="6" t="s">
        <v>133</v>
      </c>
      <c r="B6" s="6" t="s">
        <v>134</v>
      </c>
      <c r="C6" s="6" t="s">
        <v>140</v>
      </c>
      <c r="D6" s="6">
        <v>2</v>
      </c>
      <c r="E6" s="9" t="s">
        <v>174</v>
      </c>
      <c r="F6" s="6" t="s">
        <v>175</v>
      </c>
      <c r="G6" s="6"/>
      <c r="H6" s="6" t="s">
        <v>176</v>
      </c>
      <c r="I6" s="6" t="s">
        <v>180</v>
      </c>
      <c r="J6" s="6" t="s">
        <v>181</v>
      </c>
      <c r="K6" s="6" t="s">
        <v>179</v>
      </c>
      <c r="L6" s="6" t="s">
        <v>176</v>
      </c>
      <c r="M6" s="6" t="s">
        <v>176</v>
      </c>
      <c r="N6" s="6" t="s">
        <v>176</v>
      </c>
      <c r="O6" s="6" t="s">
        <v>176</v>
      </c>
      <c r="P6" s="6" t="s">
        <v>176</v>
      </c>
      <c r="Q6" s="6" t="s">
        <v>176</v>
      </c>
      <c r="R6" s="2" t="s">
        <v>176</v>
      </c>
      <c r="T6" s="6" t="s">
        <v>146</v>
      </c>
      <c r="U6" s="6" t="s">
        <v>182</v>
      </c>
      <c r="V6" s="6" t="s">
        <v>135</v>
      </c>
      <c r="W6" s="6">
        <v>46</v>
      </c>
      <c r="X6" s="6"/>
      <c r="Y6" s="6" t="s">
        <v>164</v>
      </c>
      <c r="Z6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P7"/>
  <sheetViews>
    <sheetView topLeftCell="C1" workbookViewId="0">
      <pane ySplit="4" topLeftCell="A5" activePane="bottomLeft" state="frozen"/>
      <selection activeCell="A5" sqref="A5"/>
      <selection pane="bottomLeft" activeCell="H7" sqref="H7"/>
    </sheetView>
  </sheetViews>
  <sheetFormatPr defaultColWidth="8.85546875" defaultRowHeight="15" x14ac:dyDescent="0.25"/>
  <cols>
    <col min="1" max="16" width="20.7109375" style="2" customWidth="1"/>
    <col min="17" max="16384" width="8.85546875" style="4"/>
  </cols>
  <sheetData>
    <row r="1" spans="1:16" x14ac:dyDescent="0.25">
      <c r="A1" s="2" t="s">
        <v>15</v>
      </c>
      <c r="B1" s="2" t="s">
        <v>16</v>
      </c>
      <c r="C1" s="2" t="s">
        <v>17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44</v>
      </c>
      <c r="N1" s="2" t="s">
        <v>45</v>
      </c>
      <c r="O1" s="2" t="s">
        <v>123</v>
      </c>
      <c r="P1" s="2" t="s">
        <v>124</v>
      </c>
    </row>
    <row r="2" spans="1:16" s="2" customFormat="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125</v>
      </c>
      <c r="G2" s="3" t="s">
        <v>126</v>
      </c>
      <c r="H2" s="3" t="s">
        <v>42</v>
      </c>
      <c r="I2" s="3" t="s">
        <v>127</v>
      </c>
      <c r="J2" s="3" t="s">
        <v>43</v>
      </c>
      <c r="K2" s="3" t="s">
        <v>113</v>
      </c>
      <c r="L2" s="3" t="s">
        <v>128</v>
      </c>
      <c r="M2" s="3" t="s">
        <v>46</v>
      </c>
      <c r="N2" s="3" t="s">
        <v>47</v>
      </c>
      <c r="O2" s="3" t="s">
        <v>48</v>
      </c>
      <c r="P2" s="3" t="s">
        <v>58</v>
      </c>
    </row>
    <row r="3" spans="1:16" x14ac:dyDescent="0.2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24</v>
      </c>
      <c r="N3" s="3" t="s">
        <v>23</v>
      </c>
      <c r="O3" s="3" t="s">
        <v>23</v>
      </c>
      <c r="P3" s="3" t="s">
        <v>24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x14ac:dyDescent="0.25">
      <c r="A5" s="6" t="s">
        <v>133</v>
      </c>
      <c r="B5" s="6" t="s">
        <v>138</v>
      </c>
      <c r="C5" s="6" t="s">
        <v>140</v>
      </c>
      <c r="D5" s="6">
        <v>1</v>
      </c>
      <c r="E5" s="9">
        <v>3</v>
      </c>
      <c r="F5" s="6" t="s">
        <v>142</v>
      </c>
      <c r="G5" s="6" t="s">
        <v>25</v>
      </c>
      <c r="H5" s="7" t="s">
        <v>143</v>
      </c>
      <c r="I5" s="6" t="s">
        <v>144</v>
      </c>
      <c r="J5" s="6" t="s">
        <v>145</v>
      </c>
      <c r="K5" s="6" t="s">
        <v>145</v>
      </c>
      <c r="L5" s="6" t="s">
        <v>57</v>
      </c>
      <c r="N5" s="2" t="s">
        <v>146</v>
      </c>
      <c r="O5" s="2" t="s">
        <v>147</v>
      </c>
      <c r="P5" s="6">
        <v>3</v>
      </c>
    </row>
    <row r="6" spans="1:16" x14ac:dyDescent="0.25">
      <c r="A6" s="6" t="s">
        <v>133</v>
      </c>
      <c r="B6" s="6" t="s">
        <v>138</v>
      </c>
      <c r="C6" s="6" t="s">
        <v>140</v>
      </c>
      <c r="D6" s="6">
        <v>2</v>
      </c>
      <c r="E6" s="9">
        <v>2</v>
      </c>
      <c r="F6" s="6" t="s">
        <v>148</v>
      </c>
      <c r="G6" s="6" t="s">
        <v>31</v>
      </c>
      <c r="H6" s="6" t="s">
        <v>143</v>
      </c>
      <c r="I6" s="6" t="s">
        <v>144</v>
      </c>
      <c r="J6" s="6" t="s">
        <v>149</v>
      </c>
      <c r="K6" s="6" t="s">
        <v>149</v>
      </c>
      <c r="L6" s="6" t="s">
        <v>57</v>
      </c>
      <c r="N6" s="2" t="s">
        <v>146</v>
      </c>
      <c r="O6" s="2" t="s">
        <v>147</v>
      </c>
      <c r="P6" s="6">
        <v>3</v>
      </c>
    </row>
    <row r="7" spans="1:16" x14ac:dyDescent="0.25">
      <c r="A7" s="2" t="s">
        <v>133</v>
      </c>
      <c r="B7" s="2" t="s">
        <v>138</v>
      </c>
      <c r="C7" s="2" t="s">
        <v>140</v>
      </c>
      <c r="D7" s="6">
        <v>3</v>
      </c>
      <c r="E7" s="10" t="s">
        <v>141</v>
      </c>
      <c r="F7" s="2" t="s">
        <v>142</v>
      </c>
      <c r="G7" s="2" t="s">
        <v>25</v>
      </c>
      <c r="H7" s="2" t="s">
        <v>151</v>
      </c>
      <c r="I7" s="2" t="s">
        <v>146</v>
      </c>
      <c r="J7" s="2" t="s">
        <v>145</v>
      </c>
      <c r="K7" s="2" t="s">
        <v>145</v>
      </c>
      <c r="N7" s="2" t="s">
        <v>146</v>
      </c>
      <c r="O7" s="2" t="s">
        <v>147</v>
      </c>
      <c r="P7" s="2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10"/>
  <sheetViews>
    <sheetView workbookViewId="0">
      <pane ySplit="4" topLeftCell="A5" activePane="bottomLeft" state="frozen"/>
      <selection activeCell="A5" sqref="A5"/>
      <selection pane="bottomLeft" activeCell="D6" sqref="D6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15</v>
      </c>
      <c r="B1" s="2" t="s">
        <v>51</v>
      </c>
      <c r="C1" s="2" t="s">
        <v>17</v>
      </c>
      <c r="D1" s="2" t="s">
        <v>52</v>
      </c>
      <c r="E1" s="2" t="s">
        <v>53</v>
      </c>
      <c r="F1" s="2" t="s">
        <v>129</v>
      </c>
      <c r="G1" s="2" t="s">
        <v>130</v>
      </c>
    </row>
    <row r="2" spans="1:7" s="2" customFormat="1" ht="30" x14ac:dyDescent="0.25">
      <c r="A2" s="3" t="s">
        <v>18</v>
      </c>
      <c r="B2" s="3" t="s">
        <v>54</v>
      </c>
      <c r="C2" s="3" t="s">
        <v>20</v>
      </c>
      <c r="D2" s="3" t="s">
        <v>55</v>
      </c>
      <c r="E2" s="3" t="s">
        <v>56</v>
      </c>
      <c r="F2" s="3" t="s">
        <v>131</v>
      </c>
      <c r="G2" s="3" t="s">
        <v>132</v>
      </c>
    </row>
    <row r="3" spans="1:7" x14ac:dyDescent="0.25">
      <c r="A3" s="3" t="s">
        <v>23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s="6" t="s">
        <v>133</v>
      </c>
      <c r="B5" s="6" t="s">
        <v>138</v>
      </c>
      <c r="C5" s="6"/>
      <c r="D5" s="6" t="s">
        <v>115</v>
      </c>
      <c r="E5" s="6"/>
      <c r="F5" s="6" t="s">
        <v>139</v>
      </c>
      <c r="G5" s="6" t="s">
        <v>170</v>
      </c>
    </row>
    <row r="6" spans="1:7" x14ac:dyDescent="0.25">
      <c r="A6" s="6" t="s">
        <v>133</v>
      </c>
      <c r="B6" s="6" t="s">
        <v>150</v>
      </c>
      <c r="C6" s="6"/>
      <c r="D6" s="6" t="s">
        <v>171</v>
      </c>
      <c r="E6" s="6"/>
      <c r="F6" s="6" t="s">
        <v>136</v>
      </c>
      <c r="G6" s="6" t="s">
        <v>170</v>
      </c>
    </row>
    <row r="7" spans="1:7" x14ac:dyDescent="0.25">
      <c r="A7" s="2" t="s">
        <v>133</v>
      </c>
      <c r="B7" s="2" t="s">
        <v>134</v>
      </c>
      <c r="C7" s="2" t="s">
        <v>135</v>
      </c>
      <c r="D7" s="2" t="s">
        <v>85</v>
      </c>
      <c r="E7" s="2" t="s">
        <v>135</v>
      </c>
      <c r="F7" s="2" t="s">
        <v>136</v>
      </c>
      <c r="G7" s="2" t="s">
        <v>137</v>
      </c>
    </row>
    <row r="8" spans="1:7" x14ac:dyDescent="0.25">
      <c r="A8" s="2" t="s">
        <v>133</v>
      </c>
      <c r="B8" s="2" t="s">
        <v>138</v>
      </c>
      <c r="C8" s="2" t="s">
        <v>135</v>
      </c>
      <c r="D8" s="2" t="s">
        <v>115</v>
      </c>
      <c r="E8" s="2" t="s">
        <v>135</v>
      </c>
      <c r="F8" s="2" t="s">
        <v>139</v>
      </c>
      <c r="G8" s="2" t="s">
        <v>137</v>
      </c>
    </row>
    <row r="9" spans="1:7" x14ac:dyDescent="0.25">
      <c r="A9" s="8" t="s">
        <v>133</v>
      </c>
      <c r="B9" s="8" t="s">
        <v>184</v>
      </c>
      <c r="C9" s="8" t="s">
        <v>135</v>
      </c>
      <c r="D9" s="8" t="s">
        <v>183</v>
      </c>
      <c r="E9" s="8" t="s">
        <v>135</v>
      </c>
      <c r="F9" s="8" t="s">
        <v>136</v>
      </c>
      <c r="G9" s="8" t="s">
        <v>185</v>
      </c>
    </row>
    <row r="10" spans="1:7" x14ac:dyDescent="0.25">
      <c r="A10" s="8" t="s">
        <v>133</v>
      </c>
      <c r="B10" s="8" t="s">
        <v>138</v>
      </c>
      <c r="C10" s="8" t="s">
        <v>135</v>
      </c>
      <c r="D10" s="8" t="s">
        <v>186</v>
      </c>
      <c r="E10" s="8" t="s">
        <v>135</v>
      </c>
      <c r="F10" s="8" t="s">
        <v>136</v>
      </c>
      <c r="G10" s="8" t="s">
        <v>185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18CB65-132D-4E9E-BE46-A24DC50B51E9}"/>
</file>

<file path=customXml/itemProps3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5e56be02-791a-4cde-b6a3-ed7982e52124"/>
    <ds:schemaRef ds:uri="3aed8ed0-8c4c-4fc1-a6c0-afd512e25af3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cm.xpt</vt:lpstr>
      <vt:lpstr>ae.xpt</vt:lpstr>
      <vt:lpstr>fa.xpt</vt:lpstr>
      <vt:lpstr>relrec.xpt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2025-09-18T06:35:47Z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